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202300"/>
  <xr:revisionPtr revIDLastSave="0" documentId="13_ncr:1_{1E521F58-3D31-4019-A8FF-E35DF9DA6237}" xr6:coauthVersionLast="47" xr6:coauthVersionMax="47" xr10:uidLastSave="{00000000-0000-0000-0000-000000000000}"/>
  <bookViews>
    <workbookView xWindow="57480" yWindow="-120" windowWidth="29040" windowHeight="15840" xr2:uid="{A94D684B-4228-44C5-9286-6F9C387DC894}"/>
  </bookViews>
  <sheets>
    <sheet name="Feuil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3" i="1"/>
  <c r="E34" i="1"/>
  <c r="E35" i="1"/>
  <c r="E36" i="1"/>
  <c r="E37" i="1"/>
  <c r="E38" i="1"/>
  <c r="E39" i="1"/>
  <c r="E40" i="1"/>
  <c r="E41" i="1"/>
  <c r="E42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" i="1"/>
  <c r="C4" i="1"/>
  <c r="C5" i="1"/>
  <c r="C6" i="1"/>
  <c r="C7" i="1"/>
  <c r="C8" i="1"/>
  <c r="C9" i="1"/>
  <c r="C10" i="1"/>
  <c r="C11" i="1"/>
  <c r="C12" i="1"/>
  <c r="C33" i="1"/>
  <c r="C34" i="1"/>
  <c r="C35" i="1"/>
  <c r="C36" i="1"/>
  <c r="C37" i="1"/>
  <c r="C38" i="1"/>
  <c r="C39" i="1"/>
  <c r="C40" i="1"/>
  <c r="C41" i="1"/>
  <c r="C42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2" i="1"/>
</calcChain>
</file>

<file path=xl/sharedStrings.xml><?xml version="1.0" encoding="utf-8"?>
<sst xmlns="http://schemas.openxmlformats.org/spreadsheetml/2006/main" count="69" uniqueCount="64">
  <si>
    <t>Beauvais</t>
  </si>
  <si>
    <t>Royan</t>
  </si>
  <si>
    <t>Grenoble</t>
  </si>
  <si>
    <t>Ivry-sur-Seine</t>
  </si>
  <si>
    <t>{</t>
  </si>
  <si>
    <t>}</t>
  </si>
  <si>
    <t>Angers</t>
  </si>
  <si>
    <t>Rennes</t>
  </si>
  <si>
    <t>Lyon</t>
  </si>
  <si>
    <t>Arcueil</t>
  </si>
  <si>
    <t>Nantes</t>
  </si>
  <si>
    <t>Dijon</t>
  </si>
  <si>
    <t>Strasbourg</t>
  </si>
  <si>
    <t>Villeneuve-d'Ascq</t>
  </si>
  <si>
    <t>Orléans</t>
  </si>
  <si>
    <t>Lannion</t>
  </si>
  <si>
    <t>Eysines</t>
  </si>
  <si>
    <t>Onet-le-Château</t>
  </si>
  <si>
    <t>Toulon</t>
  </si>
  <si>
    <t>Aix-en-Provence</t>
  </si>
  <si>
    <t>Fleury-les-Aubrais</t>
  </si>
  <si>
    <t>Lille</t>
  </si>
  <si>
    <t>Amiens</t>
  </si>
  <si>
    <t>Guéret</t>
  </si>
  <si>
    <t>Quimper</t>
  </si>
  <si>
    <t>Ussel</t>
  </si>
  <si>
    <t>Evreux</t>
  </si>
  <si>
    <t>Tours</t>
  </si>
  <si>
    <t>Uttenheim</t>
  </si>
  <si>
    <t>Carpiquet</t>
  </si>
  <si>
    <t>Houssen</t>
  </si>
  <si>
    <t>Eragny</t>
  </si>
  <si>
    <t>Hyères</t>
  </si>
  <si>
    <t>Rouen</t>
  </si>
  <si>
    <t>Clermont-Ferrand</t>
  </si>
  <si>
    <t>Epinal</t>
  </si>
  <si>
    <t>Sarreguemines</t>
  </si>
  <si>
    <t>Saint-Nazaire</t>
  </si>
  <si>
    <t>Échirolles</t>
  </si>
  <si>
    <t>Annecy</t>
  </si>
  <si>
    <t>Dunkerque</t>
  </si>
  <si>
    <t>Villejuif</t>
  </si>
  <si>
    <t>Ueberstrass</t>
  </si>
  <si>
    <t>Englos</t>
  </si>
  <si>
    <t>Thionville</t>
  </si>
  <si>
    <t>Thiais</t>
  </si>
  <si>
    <t>Usson</t>
  </si>
  <si>
    <t>Uzerche</t>
  </si>
  <si>
    <t>Uchaux</t>
  </si>
  <si>
    <t>Ecully</t>
  </si>
  <si>
    <t>Épinay-sur-Seine</t>
  </si>
  <si>
    <t>Noisy-le-Grand</t>
  </si>
  <si>
    <t>Marseille</t>
  </si>
  <si>
    <t>Joué-lès-Tours</t>
  </si>
  <si>
    <t>Saint-Malo</t>
  </si>
  <si>
    <t>Cergy</t>
  </si>
  <si>
    <t>Limoges</t>
  </si>
  <si>
    <t>Schiltigheim</t>
  </si>
  <si>
    <t>ERROR</t>
  </si>
  <si>
    <t>City</t>
  </si>
  <si>
    <t>Postal code</t>
  </si>
  <si>
    <t>Nb gifts</t>
  </si>
  <si>
    <t>Delivery</t>
  </si>
  <si>
    <t>Bonus Gift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</si>
</sst>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5387-BE31-45CC-87F1-D3575FADA69D}">
  <dimension ref="A1:E59"/>
  <sheetViews>
    <sheetView tabSelected="1" topLeftCell="A28" workbookViewId="0">
      <selection activeCell="A43" activeCellId="1" sqref="A32:XFD32 A43:XFD43"/>
    </sheetView>
  </sheetViews>
  <sheetFormatPr baseColWidth="10" defaultColWidth="10.85546875" defaultRowHeight="24" customHeight="1" x14ac:dyDescent="0.25"/>
  <cols>
    <col min="1" max="5" width="30.5703125" style="2" customWidth="1"/>
    <col min="6" max="16384" width="10.85546875" style="2"/>
  </cols>
  <sheetData>
    <row r="1" spans="1:5" ht="24" customHeight="1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 ht="24" customHeight="1" x14ac:dyDescent="0.25">
      <c r="A2" s="2" t="s">
        <v>0</v>
      </c>
      <c r="B2" s="2">
        <v>60000</v>
      </c>
      <c r="C2" s="2">
        <f ca="1">RANDBETWEEN(100,999)</f>
        <v>516</v>
      </c>
      <c r="D2" s="2" t="str">
        <f ca="1">IF(RAND()&lt;=0.5,"OK","Delayed")</f>
        <v>OK</v>
      </c>
      <c r="E2" s="2" t="str">
        <f ca="1">IF(RAND()&gt;=0.5,"Barometer","Telescope")</f>
        <v>Telescope</v>
      </c>
    </row>
    <row r="3" spans="1:5" ht="24" customHeight="1" x14ac:dyDescent="0.25">
      <c r="A3" s="2" t="s">
        <v>1</v>
      </c>
      <c r="B3" s="2">
        <v>17200</v>
      </c>
      <c r="C3" s="2">
        <f t="shared" ref="C3:C59" ca="1" si="0">RANDBETWEEN(100,999)</f>
        <v>854</v>
      </c>
      <c r="D3" s="2" t="str">
        <f t="shared" ref="D3:D59" ca="1" si="1">IF(RAND()&lt;=0.5,"OK","Delayed")</f>
        <v>Delayed</v>
      </c>
      <c r="E3" s="2" t="str">
        <f ca="1">IF(RAND()&gt;=0.5,"Calendar","Mug")</f>
        <v>Calendar</v>
      </c>
    </row>
    <row r="4" spans="1:5" ht="24" customHeight="1" x14ac:dyDescent="0.25">
      <c r="A4" s="2" t="s">
        <v>6</v>
      </c>
      <c r="B4" s="2">
        <v>49000</v>
      </c>
      <c r="C4" s="2">
        <f t="shared" ca="1" si="0"/>
        <v>600</v>
      </c>
      <c r="D4" s="2" t="str">
        <f t="shared" ca="1" si="1"/>
        <v>OK</v>
      </c>
      <c r="E4" s="2" t="str">
        <f ca="1">IF(RAND()&gt;=0.5,"Candle","Puzzle")</f>
        <v>Candle</v>
      </c>
    </row>
    <row r="5" spans="1:5" ht="24" customHeight="1" x14ac:dyDescent="0.25">
      <c r="A5" s="2" t="s">
        <v>13</v>
      </c>
      <c r="B5" s="2">
        <v>59491</v>
      </c>
      <c r="C5" s="2">
        <f t="shared" ca="1" si="0"/>
        <v>579</v>
      </c>
      <c r="D5" s="2" t="str">
        <f t="shared" ca="1" si="1"/>
        <v>OK</v>
      </c>
      <c r="E5" s="2" t="str">
        <f ca="1">IF(RAND()&gt;=0.5,"Armchair","Thermos")</f>
        <v>Armchair</v>
      </c>
    </row>
    <row r="6" spans="1:5" ht="24" customHeight="1" x14ac:dyDescent="0.25">
      <c r="A6" s="2" t="s">
        <v>14</v>
      </c>
      <c r="B6" s="2">
        <v>45000</v>
      </c>
      <c r="C6" s="2">
        <f t="shared" ca="1" si="0"/>
        <v>918</v>
      </c>
      <c r="D6" s="2" t="str">
        <f t="shared" ca="1" si="1"/>
        <v>OK</v>
      </c>
      <c r="E6" s="2" t="str">
        <f ca="1">IF(RAND()&gt;=0.5,"Ukulele","Television")</f>
        <v>Ukulele</v>
      </c>
    </row>
    <row r="7" spans="1:5" ht="24" customHeight="1" x14ac:dyDescent="0.25">
      <c r="A7" s="2" t="s">
        <v>15</v>
      </c>
      <c r="B7" s="2">
        <v>22300</v>
      </c>
      <c r="C7" s="2">
        <f t="shared" ca="1" si="0"/>
        <v>858</v>
      </c>
      <c r="D7" s="2" t="str">
        <f t="shared" ca="1" si="1"/>
        <v>OK</v>
      </c>
      <c r="E7" s="2" t="str">
        <f ca="1">IF(RAND()&gt;=0.5,"Pants on","Joystick")</f>
        <v>Joystick</v>
      </c>
    </row>
    <row r="8" spans="1:5" ht="24" customHeight="1" x14ac:dyDescent="0.25">
      <c r="A8" s="2" t="s">
        <v>16</v>
      </c>
      <c r="B8" s="2">
        <v>33320</v>
      </c>
      <c r="C8" s="2">
        <f t="shared" ca="1" si="0"/>
        <v>493</v>
      </c>
      <c r="D8" s="2" t="str">
        <f t="shared" ca="1" si="1"/>
        <v>Delayed</v>
      </c>
      <c r="E8" s="2" t="str">
        <f ca="1">IF(RAND()&gt;=0.5,"Bicycle","tee-shirt")</f>
        <v>tee-shirt</v>
      </c>
    </row>
    <row r="9" spans="1:5" ht="24" customHeight="1" x14ac:dyDescent="0.25">
      <c r="A9" s="2" t="s">
        <v>20</v>
      </c>
      <c r="B9" s="2">
        <v>45400</v>
      </c>
      <c r="C9" s="2">
        <f t="shared" ca="1" si="0"/>
        <v>402</v>
      </c>
      <c r="D9" s="2" t="str">
        <f t="shared" ca="1" si="1"/>
        <v>Delayed</v>
      </c>
      <c r="E9" s="2" t="str">
        <f ca="1">IF(RAND()&gt;=0.5,"Woofer","Vinyl")</f>
        <v>Vinyl</v>
      </c>
    </row>
    <row r="10" spans="1:5" ht="24" customHeight="1" x14ac:dyDescent="0.25">
      <c r="A10" s="2" t="s">
        <v>21</v>
      </c>
      <c r="B10" s="2">
        <v>59000</v>
      </c>
      <c r="C10" s="2">
        <f t="shared" ca="1" si="0"/>
        <v>586</v>
      </c>
      <c r="D10" s="2" t="str">
        <f t="shared" ca="1" si="1"/>
        <v>Delayed</v>
      </c>
      <c r="E10" s="2" t="str">
        <f ca="1">IF(RAND()&gt;=0.5,"Smartphone","Hoverboard")</f>
        <v>Hoverboard</v>
      </c>
    </row>
    <row r="11" spans="1:5" ht="24" customHeight="1" x14ac:dyDescent="0.25">
      <c r="A11" s="2" t="s">
        <v>22</v>
      </c>
      <c r="B11" s="2">
        <v>80000</v>
      </c>
      <c r="C11" s="2">
        <f t="shared" ca="1" si="0"/>
        <v>665</v>
      </c>
      <c r="D11" s="2" t="str">
        <f t="shared" ca="1" si="1"/>
        <v>Delayed</v>
      </c>
      <c r="E11" s="2" t="str">
        <f ca="1">IF(RAND()&gt;=0.5,"Aspirator","Twins")</f>
        <v>Aspirator</v>
      </c>
    </row>
    <row r="12" spans="1:5" ht="24" customHeight="1" x14ac:dyDescent="0.25">
      <c r="A12" s="2" t="s">
        <v>23</v>
      </c>
      <c r="B12" s="2">
        <v>23000</v>
      </c>
      <c r="C12" s="2">
        <f t="shared" ca="1" si="0"/>
        <v>800</v>
      </c>
      <c r="D12" s="2" t="str">
        <f t="shared" ca="1" si="1"/>
        <v>OK</v>
      </c>
      <c r="E12" s="2" t="str">
        <f ca="1">IF(RAND()&gt;=0.5,"Pillow","Headphones")</f>
        <v>Pillow</v>
      </c>
    </row>
    <row r="13" spans="1:5" ht="24" customHeight="1" x14ac:dyDescent="0.25">
      <c r="A13" s="2" t="s">
        <v>24</v>
      </c>
      <c r="B13" s="2">
        <v>29000</v>
      </c>
      <c r="C13" s="2">
        <f t="shared" ca="1" si="0"/>
        <v>104</v>
      </c>
      <c r="D13" s="2" t="str">
        <f t="shared" ca="1" si="1"/>
        <v>Delayed</v>
      </c>
      <c r="E13" s="2" t="str">
        <f ca="1">IF(RAND()&gt;=0.5,"Polaroid","Headphone")</f>
        <v>Headphone</v>
      </c>
    </row>
    <row r="14" spans="1:5" ht="24" customHeight="1" x14ac:dyDescent="0.25">
      <c r="A14" s="2" t="s">
        <v>25</v>
      </c>
      <c r="B14" s="2">
        <v>19200</v>
      </c>
      <c r="C14" s="2">
        <f t="shared" ca="1" si="0"/>
        <v>406</v>
      </c>
      <c r="D14" s="2" t="str">
        <f t="shared" ca="1" si="1"/>
        <v>Delayed</v>
      </c>
      <c r="E14" s="2" t="str">
        <f ca="1">IF(RAND()&gt;=0.5,"Microphone","Hamac")</f>
        <v>Hamac</v>
      </c>
    </row>
    <row r="15" spans="1:5" ht="24" customHeight="1" x14ac:dyDescent="0.25">
      <c r="A15" s="2" t="s">
        <v>26</v>
      </c>
      <c r="B15" s="2">
        <v>27000</v>
      </c>
      <c r="C15" s="2">
        <f t="shared" ca="1" si="0"/>
        <v>553</v>
      </c>
      <c r="D15" s="2" t="str">
        <f t="shared" ca="1" si="1"/>
        <v>OK</v>
      </c>
      <c r="E15" s="2" t="str">
        <f ca="1">IF(RAND()&gt;=0.5,"Perfume","Printer")</f>
        <v>Perfume</v>
      </c>
    </row>
    <row r="16" spans="1:5" ht="24" customHeight="1" x14ac:dyDescent="0.25">
      <c r="A16" s="2" t="s">
        <v>27</v>
      </c>
      <c r="B16" s="2">
        <v>37000</v>
      </c>
      <c r="C16" s="2">
        <f t="shared" ca="1" si="0"/>
        <v>946</v>
      </c>
      <c r="D16" s="2" t="str">
        <f t="shared" ca="1" si="1"/>
        <v>Delayed</v>
      </c>
      <c r="E16" s="2" t="str">
        <f ca="1">IF(RAND()&gt;=0.5,"Figurine","Bracelet")</f>
        <v>Figurine</v>
      </c>
    </row>
    <row r="17" spans="1:5" ht="24" customHeight="1" x14ac:dyDescent="0.25">
      <c r="A17" s="2" t="s">
        <v>28</v>
      </c>
      <c r="B17" s="2">
        <v>67150</v>
      </c>
      <c r="C17" s="2">
        <f t="shared" ca="1" si="0"/>
        <v>823</v>
      </c>
      <c r="D17" s="2" t="str">
        <f t="shared" ca="1" si="1"/>
        <v>Delayed</v>
      </c>
      <c r="E17" s="2" t="str">
        <f ca="1">IF(RAND()&gt;=0.5,"Lamp","Watch")</f>
        <v>Lamp</v>
      </c>
    </row>
    <row r="18" spans="1:5" ht="24" customHeight="1" x14ac:dyDescent="0.25">
      <c r="A18" s="2" t="s">
        <v>29</v>
      </c>
      <c r="B18" s="2">
        <v>14650</v>
      </c>
      <c r="C18" s="2">
        <f t="shared" ca="1" si="0"/>
        <v>479</v>
      </c>
      <c r="D18" s="2" t="str">
        <f t="shared" ca="1" si="1"/>
        <v>Delayed</v>
      </c>
      <c r="E18" s="2" t="str">
        <f ca="1">IF(RAND()&gt;=0.5,"Model","Vase")</f>
        <v>Model</v>
      </c>
    </row>
    <row r="19" spans="1:5" ht="24" customHeight="1" x14ac:dyDescent="0.25">
      <c r="A19" s="2" t="s">
        <v>30</v>
      </c>
      <c r="B19" s="2">
        <v>68125</v>
      </c>
      <c r="C19" s="2">
        <f t="shared" ca="1" si="0"/>
        <v>456</v>
      </c>
      <c r="D19" s="2" t="str">
        <f t="shared" ca="1" si="1"/>
        <v>Delayed</v>
      </c>
      <c r="E19" s="2" t="str">
        <f ca="1">IF(RAND()&gt;=0.5,"Xylophone","Cushion")</f>
        <v>Xylophone</v>
      </c>
    </row>
    <row r="20" spans="1:5" ht="24" customHeight="1" x14ac:dyDescent="0.25">
      <c r="A20" s="2" t="s">
        <v>31</v>
      </c>
      <c r="B20" s="2">
        <v>95610</v>
      </c>
      <c r="C20" s="2">
        <f t="shared" ca="1" si="0"/>
        <v>941</v>
      </c>
      <c r="D20" s="2" t="str">
        <f t="shared" ca="1" si="1"/>
        <v>Delayed</v>
      </c>
      <c r="E20" s="2" t="str">
        <f ca="1">IF(RAND()&gt;=0.5,"Piano","Robot")</f>
        <v>Piano</v>
      </c>
    </row>
    <row r="21" spans="1:5" ht="24" customHeight="1" x14ac:dyDescent="0.25">
      <c r="A21" s="2" t="s">
        <v>33</v>
      </c>
      <c r="B21" s="2">
        <v>76000</v>
      </c>
      <c r="C21" s="2">
        <f t="shared" ca="1" si="0"/>
        <v>170</v>
      </c>
      <c r="D21" s="2" t="str">
        <f t="shared" ca="1" si="1"/>
        <v>Delayed</v>
      </c>
      <c r="E21" s="2" t="str">
        <f ca="1">IF(RAND()&gt;=0.5,"Guitar","Trampoline")</f>
        <v>Guitar</v>
      </c>
    </row>
    <row r="22" spans="1:5" ht="24" customHeight="1" x14ac:dyDescent="0.25">
      <c r="A22" s="2" t="s">
        <v>34</v>
      </c>
      <c r="B22" s="2">
        <v>63000</v>
      </c>
      <c r="C22" s="2">
        <f t="shared" ca="1" si="0"/>
        <v>840</v>
      </c>
      <c r="D22" s="2" t="str">
        <f t="shared" ca="1" si="1"/>
        <v>OK</v>
      </c>
      <c r="E22" s="2" t="str">
        <f ca="1">IF(RAND()&gt;=0.5,"Drone","Album")</f>
        <v>Album</v>
      </c>
    </row>
    <row r="23" spans="1:5" ht="24" customHeight="1" x14ac:dyDescent="0.25">
      <c r="A23" s="2" t="s">
        <v>32</v>
      </c>
      <c r="B23" s="2">
        <v>83400</v>
      </c>
      <c r="C23" s="2">
        <f t="shared" ca="1" si="0"/>
        <v>298</v>
      </c>
      <c r="D23" s="2" t="str">
        <f t="shared" ca="1" si="1"/>
        <v>OK</v>
      </c>
      <c r="E23" s="2" t="str">
        <f ca="1">IF(RAND()&gt;=0.5,"Toy Video","Scooter")</f>
        <v>Scooter</v>
      </c>
    </row>
    <row r="24" spans="1:5" ht="24" customHeight="1" x14ac:dyDescent="0.25">
      <c r="A24" s="2" t="s">
        <v>35</v>
      </c>
      <c r="B24" s="2">
        <v>88000</v>
      </c>
      <c r="C24" s="2">
        <f t="shared" ca="1" si="0"/>
        <v>337</v>
      </c>
      <c r="D24" s="2" t="str">
        <f t="shared" ca="1" si="1"/>
        <v>Delayed</v>
      </c>
      <c r="E24" s="2" t="str">
        <f ca="1">IF(RAND()&gt;=0.5,"Puzzle","Skateboard")</f>
        <v>Puzzle</v>
      </c>
    </row>
    <row r="25" spans="1:5" ht="24" customHeight="1" x14ac:dyDescent="0.25">
      <c r="A25" s="2" t="s">
        <v>36</v>
      </c>
      <c r="B25" s="2">
        <v>57200</v>
      </c>
      <c r="C25" s="2">
        <f t="shared" ca="1" si="0"/>
        <v>771</v>
      </c>
      <c r="D25" s="2" t="str">
        <f t="shared" ca="1" si="1"/>
        <v>OK</v>
      </c>
      <c r="E25" s="2" t="str">
        <f ca="1">IF(RAND()&gt;=0.5,"Bag","Glasses")</f>
        <v>Bag</v>
      </c>
    </row>
    <row r="26" spans="1:5" ht="24" customHeight="1" x14ac:dyDescent="0.25">
      <c r="A26" s="2" t="s">
        <v>38</v>
      </c>
      <c r="B26" s="2">
        <v>38130</v>
      </c>
      <c r="C26" s="2">
        <f t="shared" ca="1" si="0"/>
        <v>786</v>
      </c>
      <c r="D26" s="2" t="str">
        <f t="shared" ca="1" si="1"/>
        <v>OK</v>
      </c>
      <c r="E26" s="2" t="str">
        <f ca="1">IF(RAND()&gt;=0.5,"Book","Waffle maker")</f>
        <v>Book</v>
      </c>
    </row>
    <row r="27" spans="1:5" ht="24" customHeight="1" x14ac:dyDescent="0.25">
      <c r="A27" s="2" t="s">
        <v>37</v>
      </c>
      <c r="B27" s="2">
        <v>44600</v>
      </c>
      <c r="C27" s="2">
        <f t="shared" ca="1" si="0"/>
        <v>829</v>
      </c>
      <c r="D27" s="2" t="str">
        <f t="shared" ca="1" si="1"/>
        <v>Delayed</v>
      </c>
      <c r="E27" s="2" t="str">
        <f ca="1">IF(RAND()&gt;=0.5,"Computer","Pull-over")</f>
        <v>Computer</v>
      </c>
    </row>
    <row r="28" spans="1:5" ht="24" customHeight="1" x14ac:dyDescent="0.25">
      <c r="A28" s="2" t="s">
        <v>18</v>
      </c>
      <c r="B28" s="2">
        <v>83000</v>
      </c>
      <c r="C28" s="2">
        <f t="shared" ca="1" si="0"/>
        <v>943</v>
      </c>
      <c r="D28" s="2" t="str">
        <f t="shared" ca="1" si="1"/>
        <v>Delayed</v>
      </c>
      <c r="E28" s="2" t="str">
        <f ca="1">IF(RAND()&gt;=0.5,"Gloves","Beanie")</f>
        <v>Gloves</v>
      </c>
    </row>
    <row r="29" spans="1:5" ht="24" customHeight="1" x14ac:dyDescent="0.25">
      <c r="A29" s="2" t="s">
        <v>39</v>
      </c>
      <c r="B29" s="2">
        <v>74000</v>
      </c>
      <c r="C29" s="2">
        <f t="shared" ca="1" si="0"/>
        <v>789</v>
      </c>
      <c r="D29" s="2" t="str">
        <f t="shared" ca="1" si="1"/>
        <v>OK</v>
      </c>
      <c r="E29" s="2" t="str">
        <f ca="1">IF(RAND()&gt;=0.5,"DVD","CD")</f>
        <v>DVD</v>
      </c>
    </row>
    <row r="30" spans="1:5" ht="24" customHeight="1" x14ac:dyDescent="0.25">
      <c r="A30" s="2" t="s">
        <v>40</v>
      </c>
      <c r="B30" s="2">
        <v>59140</v>
      </c>
      <c r="C30" s="2">
        <f t="shared" ca="1" si="0"/>
        <v>921</v>
      </c>
      <c r="D30" s="2" t="str">
        <f t="shared" ca="1" si="1"/>
        <v>OK</v>
      </c>
      <c r="E30" s="2" t="str">
        <f ca="1">IF(RAND()&gt;=0.5,"Pendant","Peignoir")</f>
        <v>Pendant</v>
      </c>
    </row>
    <row r="31" spans="1:5" ht="24" customHeight="1" x14ac:dyDescent="0.25">
      <c r="A31" s="2" t="s">
        <v>41</v>
      </c>
      <c r="B31" s="2">
        <v>94800</v>
      </c>
      <c r="C31" s="2">
        <f t="shared" ca="1" si="0"/>
        <v>560</v>
      </c>
      <c r="D31" s="2" t="str">
        <f t="shared" ca="1" si="1"/>
        <v>OK</v>
      </c>
      <c r="E31" s="2" t="str">
        <f ca="1">IF(RAND()&gt;=0.5,"Mug","Apron")</f>
        <v>Mug</v>
      </c>
    </row>
    <row r="32" spans="1:5" ht="24" hidden="1" customHeight="1" x14ac:dyDescent="0.25">
      <c r="A32" s="2" t="s">
        <v>4</v>
      </c>
      <c r="B32" s="2" t="s">
        <v>58</v>
      </c>
      <c r="C32" s="2" t="s">
        <v>58</v>
      </c>
      <c r="D32" s="2" t="str">
        <f t="shared" ca="1" si="1"/>
        <v>OK</v>
      </c>
      <c r="E32" s="2" t="s">
        <v>58</v>
      </c>
    </row>
    <row r="33" spans="1:5" ht="24" customHeight="1" x14ac:dyDescent="0.25">
      <c r="A33" s="2" t="s">
        <v>2</v>
      </c>
      <c r="B33" s="2">
        <v>38000</v>
      </c>
      <c r="C33" s="2">
        <f t="shared" ca="1" si="0"/>
        <v>483</v>
      </c>
      <c r="D33" s="2" t="str">
        <f t="shared" ca="1" si="1"/>
        <v>OK</v>
      </c>
      <c r="E33" s="2" t="str">
        <f ca="1">IF(RAND()&gt;=0.5,"Bracelet","Necklace")</f>
        <v>Bracelet</v>
      </c>
    </row>
    <row r="34" spans="1:5" ht="24" customHeight="1" x14ac:dyDescent="0.25">
      <c r="A34" s="2" t="s">
        <v>42</v>
      </c>
      <c r="B34" s="2">
        <v>68580</v>
      </c>
      <c r="C34" s="2">
        <f t="shared" ca="1" si="0"/>
        <v>103</v>
      </c>
      <c r="D34" s="2" t="str">
        <f t="shared" ca="1" si="1"/>
        <v>Delayed</v>
      </c>
      <c r="E34" s="2" t="str">
        <f ca="1">IF(RAND()&gt;=0.5,"Mirror","Oboe")</f>
        <v>Mirror</v>
      </c>
    </row>
    <row r="35" spans="1:5" ht="24" customHeight="1" x14ac:dyDescent="0.25">
      <c r="A35" s="2" t="s">
        <v>3</v>
      </c>
      <c r="B35" s="2">
        <v>94200</v>
      </c>
      <c r="C35" s="2">
        <f t="shared" ca="1" si="0"/>
        <v>269</v>
      </c>
      <c r="D35" s="2" t="str">
        <f t="shared" ca="1" si="1"/>
        <v>Delayed</v>
      </c>
      <c r="E35" s="2" t="str">
        <f ca="1">IF(RAND()&gt;=0.5,"Pencil Case","Pouch")</f>
        <v>Pencil Case</v>
      </c>
    </row>
    <row r="36" spans="1:5" ht="24" customHeight="1" x14ac:dyDescent="0.25">
      <c r="A36" s="2" t="s">
        <v>7</v>
      </c>
      <c r="B36" s="2">
        <v>35000</v>
      </c>
      <c r="C36" s="2">
        <f t="shared" ca="1" si="0"/>
        <v>940</v>
      </c>
      <c r="D36" s="2" t="str">
        <f t="shared" ca="1" si="1"/>
        <v>OK</v>
      </c>
      <c r="E36" s="2" t="str">
        <f ca="1">IF(RAND()&gt;=0.5,"Jewel","Plant")</f>
        <v>Plant</v>
      </c>
    </row>
    <row r="37" spans="1:5" ht="24" customHeight="1" x14ac:dyDescent="0.25">
      <c r="A37" s="2" t="s">
        <v>8</v>
      </c>
      <c r="B37" s="2">
        <v>69000</v>
      </c>
      <c r="C37" s="2">
        <f t="shared" ca="1" si="0"/>
        <v>513</v>
      </c>
      <c r="D37" s="2" t="str">
        <f t="shared" ca="1" si="1"/>
        <v>OK</v>
      </c>
      <c r="E37" s="2" t="str">
        <f ca="1">IF(RAND()&gt;=0.5,"Cup","Lamp")</f>
        <v>Cup</v>
      </c>
    </row>
    <row r="38" spans="1:5" ht="24" customHeight="1" x14ac:dyDescent="0.25">
      <c r="A38" s="2" t="s">
        <v>9</v>
      </c>
      <c r="B38" s="2">
        <v>94110</v>
      </c>
      <c r="C38" s="2">
        <f t="shared" ca="1" si="0"/>
        <v>737</v>
      </c>
      <c r="D38" s="2" t="str">
        <f t="shared" ca="1" si="1"/>
        <v>Delayed</v>
      </c>
      <c r="E38" s="2" t="str">
        <f ca="1">IF(RAND()&gt;=0.5,"Lighter","Gourde")</f>
        <v>Lighter</v>
      </c>
    </row>
    <row r="39" spans="1:5" ht="24" customHeight="1" x14ac:dyDescent="0.25">
      <c r="A39" s="2" t="s">
        <v>10</v>
      </c>
      <c r="B39" s="2">
        <v>44000</v>
      </c>
      <c r="C39" s="2">
        <f t="shared" ca="1" si="0"/>
        <v>963</v>
      </c>
      <c r="D39" s="2" t="str">
        <f t="shared" ca="1" si="1"/>
        <v>OK</v>
      </c>
      <c r="E39" s="2" t="str">
        <f ca="1">IF(RAND()&gt;=0.5,"Perfume","Stylo")</f>
        <v>Perfume</v>
      </c>
    </row>
    <row r="40" spans="1:5" ht="24" customHeight="1" x14ac:dyDescent="0.25">
      <c r="A40" s="2" t="s">
        <v>11</v>
      </c>
      <c r="B40" s="2">
        <v>21000</v>
      </c>
      <c r="C40" s="2">
        <f t="shared" ca="1" si="0"/>
        <v>919</v>
      </c>
      <c r="D40" s="2" t="str">
        <f t="shared" ca="1" si="1"/>
        <v>OK</v>
      </c>
      <c r="E40" s="2" t="str">
        <f ca="1">IF(RAND()&gt;=0.5,"Calendar","Video Game")</f>
        <v>Video Game</v>
      </c>
    </row>
    <row r="41" spans="1:5" ht="24" customHeight="1" x14ac:dyDescent="0.25">
      <c r="A41" s="2" t="s">
        <v>43</v>
      </c>
      <c r="B41" s="2">
        <v>59320</v>
      </c>
      <c r="C41" s="2">
        <f t="shared" ca="1" si="0"/>
        <v>750</v>
      </c>
      <c r="D41" s="2" t="str">
        <f t="shared" ca="1" si="1"/>
        <v>OK</v>
      </c>
      <c r="E41" s="2" t="str">
        <f ca="1">IF(RAND()&gt;=0.5,"Snow Bell","Photo frame")</f>
        <v>Photo frame</v>
      </c>
    </row>
    <row r="42" spans="1:5" ht="24" customHeight="1" x14ac:dyDescent="0.25">
      <c r="A42" s="2" t="s">
        <v>12</v>
      </c>
      <c r="B42" s="2">
        <v>67000</v>
      </c>
      <c r="C42" s="2">
        <f t="shared" ca="1" si="0"/>
        <v>897</v>
      </c>
      <c r="D42" s="2" t="str">
        <f t="shared" ca="1" si="1"/>
        <v>Delayed</v>
      </c>
      <c r="E42" s="2" t="str">
        <f ca="1">IF(RAND()&gt;=0.5,"Socks","Shoes")</f>
        <v>Socks</v>
      </c>
    </row>
    <row r="43" spans="1:5" ht="24" hidden="1" customHeight="1" x14ac:dyDescent="0.25">
      <c r="A43" s="2" t="s">
        <v>5</v>
      </c>
      <c r="B43" s="2" t="s">
        <v>58</v>
      </c>
      <c r="C43" s="2" t="s">
        <v>58</v>
      </c>
      <c r="D43" s="2" t="str">
        <f t="shared" ca="1" si="1"/>
        <v>OK</v>
      </c>
      <c r="E43" s="2" t="s">
        <v>58</v>
      </c>
    </row>
    <row r="44" spans="1:5" ht="24" customHeight="1" x14ac:dyDescent="0.25">
      <c r="A44" s="2" t="s">
        <v>44</v>
      </c>
      <c r="B44" s="2">
        <v>57100</v>
      </c>
      <c r="C44" s="2">
        <f t="shared" ca="1" si="0"/>
        <v>625</v>
      </c>
      <c r="D44" s="2" t="str">
        <f t="shared" ca="1" si="1"/>
        <v>OK</v>
      </c>
      <c r="E44" s="2" t="str">
        <f ca="1">IF(RAND()&gt;=0.5,"Jacket","Shirt")</f>
        <v>Shirt</v>
      </c>
    </row>
    <row r="45" spans="1:5" ht="24" customHeight="1" x14ac:dyDescent="0.25">
      <c r="A45" s="2" t="s">
        <v>17</v>
      </c>
      <c r="B45" s="2">
        <v>12850</v>
      </c>
      <c r="C45" s="2">
        <f t="shared" ca="1" si="0"/>
        <v>477</v>
      </c>
      <c r="D45" s="2" t="str">
        <f t="shared" ca="1" si="1"/>
        <v>OK</v>
      </c>
      <c r="E45" s="2" t="str">
        <f ca="1">IF(RAND()&gt;=0.5,"Camera","Tablet")</f>
        <v>Camera</v>
      </c>
    </row>
    <row r="46" spans="1:5" ht="24" customHeight="1" x14ac:dyDescent="0.25">
      <c r="A46" s="2" t="s">
        <v>46</v>
      </c>
      <c r="B46" s="2">
        <v>63490</v>
      </c>
      <c r="C46" s="2">
        <f t="shared" ca="1" si="0"/>
        <v>842</v>
      </c>
      <c r="D46" s="2" t="str">
        <f t="shared" ca="1" si="1"/>
        <v>Delayed</v>
      </c>
      <c r="E46" s="2" t="str">
        <f ca="1">IF(RAND()&gt;=0.5,"Rollers","Home cinema")</f>
        <v>Home cinema</v>
      </c>
    </row>
    <row r="47" spans="1:5" ht="24" customHeight="1" x14ac:dyDescent="0.25">
      <c r="A47" s="2" t="s">
        <v>45</v>
      </c>
      <c r="B47" s="2">
        <v>94320</v>
      </c>
      <c r="C47" s="2">
        <f t="shared" ca="1" si="0"/>
        <v>759</v>
      </c>
      <c r="D47" s="2" t="str">
        <f t="shared" ca="1" si="1"/>
        <v>Delayed</v>
      </c>
      <c r="E47" s="2" t="str">
        <f ca="1">IF(RAND()&gt;=0.5,"Video recorder","Overhead projector")</f>
        <v>Video recorder</v>
      </c>
    </row>
    <row r="48" spans="1:5" ht="24" customHeight="1" x14ac:dyDescent="0.25">
      <c r="A48" s="2" t="s">
        <v>49</v>
      </c>
      <c r="B48" s="2">
        <v>69130</v>
      </c>
      <c r="C48" s="2">
        <f t="shared" ca="1" si="0"/>
        <v>963</v>
      </c>
      <c r="D48" s="2" t="str">
        <f t="shared" ca="1" si="1"/>
        <v>Delayed</v>
      </c>
      <c r="E48" s="2" t="str">
        <f ca="1">IF(RAND()&gt;=0.5,"Battery","Flute")</f>
        <v>Flute</v>
      </c>
    </row>
    <row r="49" spans="1:5" ht="24" customHeight="1" x14ac:dyDescent="0.25">
      <c r="A49" s="2" t="s">
        <v>51</v>
      </c>
      <c r="B49" s="2">
        <v>93160</v>
      </c>
      <c r="C49" s="2">
        <f t="shared" ca="1" si="0"/>
        <v>695</v>
      </c>
      <c r="D49" s="2" t="str">
        <f t="shared" ca="1" si="1"/>
        <v>OK</v>
      </c>
      <c r="E49" s="2" t="str">
        <f ca="1">IF(RAND()&gt;=0.5,"Toaster","Kettle")</f>
        <v>Kettle</v>
      </c>
    </row>
    <row r="50" spans="1:5" ht="24" customHeight="1" x14ac:dyDescent="0.25">
      <c r="A50" s="2" t="s">
        <v>52</v>
      </c>
      <c r="B50" s="2">
        <v>13000</v>
      </c>
      <c r="C50" s="2">
        <f t="shared" ca="1" si="0"/>
        <v>954</v>
      </c>
      <c r="D50" s="2" t="str">
        <f t="shared" ca="1" si="1"/>
        <v>Delayed</v>
      </c>
      <c r="E50" s="2" t="str">
        <f ca="1">IF(RAND()&gt;=0.5,"USB key","Hard drive")</f>
        <v>Hard drive</v>
      </c>
    </row>
    <row r="51" spans="1:5" ht="24" customHeight="1" x14ac:dyDescent="0.25">
      <c r="A51" s="2" t="s">
        <v>19</v>
      </c>
      <c r="B51" s="2">
        <v>13080</v>
      </c>
      <c r="C51" s="2">
        <f t="shared" ca="1" si="0"/>
        <v>258</v>
      </c>
      <c r="D51" s="2" t="str">
        <f t="shared" ca="1" si="1"/>
        <v>Delayed</v>
      </c>
      <c r="E51" s="2" t="str">
        <f ca="1">IF(RAND()&gt;=0.5,"Kaleidoscope","Mock-up")</f>
        <v>Mock-up</v>
      </c>
    </row>
    <row r="52" spans="1:5" ht="24" customHeight="1" x14ac:dyDescent="0.25">
      <c r="A52" s="2" t="s">
        <v>53</v>
      </c>
      <c r="B52" s="2">
        <v>37300</v>
      </c>
      <c r="C52" s="2">
        <f t="shared" ca="1" si="0"/>
        <v>988</v>
      </c>
      <c r="D52" s="2" t="str">
        <f t="shared" ca="1" si="1"/>
        <v>OK</v>
      </c>
      <c r="E52" s="2" t="str">
        <f ca="1">IF(RAND()&gt;=0.5,"Slide","Swing")</f>
        <v>Swing</v>
      </c>
    </row>
    <row r="53" spans="1:5" ht="24" customHeight="1" x14ac:dyDescent="0.25">
      <c r="A53" s="2" t="s">
        <v>47</v>
      </c>
      <c r="B53" s="2">
        <v>19140</v>
      </c>
      <c r="C53" s="2">
        <f t="shared" ca="1" si="0"/>
        <v>839</v>
      </c>
      <c r="D53" s="2" t="str">
        <f t="shared" ca="1" si="1"/>
        <v>OK</v>
      </c>
      <c r="E53" s="2" t="str">
        <f ca="1">IF(RAND()&gt;=0.5,"Pool","Sauna")</f>
        <v>Sauna</v>
      </c>
    </row>
    <row r="54" spans="1:5" ht="24" customHeight="1" x14ac:dyDescent="0.25">
      <c r="A54" s="2" t="s">
        <v>54</v>
      </c>
      <c r="B54" s="2">
        <v>35400</v>
      </c>
      <c r="C54" s="2">
        <f t="shared" ca="1" si="0"/>
        <v>868</v>
      </c>
      <c r="D54" s="2" t="str">
        <f t="shared" ca="1" si="1"/>
        <v>OK</v>
      </c>
      <c r="E54" s="2" t="str">
        <f ca="1">IF(RAND()&gt;=0.5,"Gantry","Sandbox")</f>
        <v>Sandbox</v>
      </c>
    </row>
    <row r="55" spans="1:5" ht="24" customHeight="1" x14ac:dyDescent="0.25">
      <c r="A55" s="2" t="s">
        <v>55</v>
      </c>
      <c r="B55" s="2">
        <v>95000</v>
      </c>
      <c r="C55" s="2">
        <f t="shared" ca="1" si="0"/>
        <v>623</v>
      </c>
      <c r="D55" s="2" t="str">
        <f t="shared" ca="1" si="1"/>
        <v>OK</v>
      </c>
      <c r="E55" s="2" t="str">
        <f ca="1">IF(RAND()&gt;=0.5,"Soccer","Billiard")</f>
        <v>Soccer</v>
      </c>
    </row>
    <row r="56" spans="1:5" ht="24" customHeight="1" x14ac:dyDescent="0.25">
      <c r="A56" s="2" t="s">
        <v>48</v>
      </c>
      <c r="B56" s="2">
        <v>84100</v>
      </c>
      <c r="C56" s="2">
        <f t="shared" ca="1" si="0"/>
        <v>674</v>
      </c>
      <c r="D56" s="2" t="str">
        <f t="shared" ca="1" si="1"/>
        <v>Delayed</v>
      </c>
      <c r="E56" s="2" t="str">
        <f ca="1">IF(RAND()&gt;=0.5,"Coffee maker","Teapot")</f>
        <v>Coffee maker</v>
      </c>
    </row>
    <row r="57" spans="1:5" ht="24" customHeight="1" x14ac:dyDescent="0.25">
      <c r="A57" s="2" t="s">
        <v>56</v>
      </c>
      <c r="B57" s="2">
        <v>87000</v>
      </c>
      <c r="C57" s="2">
        <f t="shared" ca="1" si="0"/>
        <v>641</v>
      </c>
      <c r="D57" s="2" t="str">
        <f t="shared" ca="1" si="1"/>
        <v>Delayed</v>
      </c>
      <c r="E57" s="2" t="str">
        <f ca="1">IF(RAND()&gt;=0.5,"Vase","Candle holder")</f>
        <v>Candle holder</v>
      </c>
    </row>
    <row r="58" spans="1:5" ht="24" customHeight="1" x14ac:dyDescent="0.25">
      <c r="A58" s="2" t="s">
        <v>50</v>
      </c>
      <c r="B58" s="2">
        <v>93800</v>
      </c>
      <c r="C58" s="2">
        <f t="shared" ca="1" si="0"/>
        <v>203</v>
      </c>
      <c r="D58" s="2" t="str">
        <f t="shared" ca="1" si="1"/>
        <v>OK</v>
      </c>
      <c r="E58" s="2" t="str">
        <f ca="1">IF(RAND()&gt;=0.5,"Fir tree","Light fixture")</f>
        <v>Fir tree</v>
      </c>
    </row>
    <row r="59" spans="1:5" ht="24" customHeight="1" x14ac:dyDescent="0.25">
      <c r="A59" s="2" t="s">
        <v>57</v>
      </c>
      <c r="B59" s="2">
        <v>67300</v>
      </c>
      <c r="C59" s="2">
        <f t="shared" ca="1" si="0"/>
        <v>233</v>
      </c>
      <c r="D59" s="2" t="str">
        <f t="shared" ca="1" si="1"/>
        <v>Delayed</v>
      </c>
      <c r="E59" s="2" t="str">
        <f ca="1">IF(RAND()&gt;=0.5,"Helicopter","Car")</f>
        <v>Car</v>
      </c>
    </row>
  </sheetData>
  <pageMargins left="0.7" right="0.7" top="0.75" bottom="0.75" header="0.3" footer="0.3"/>
  <pageSetup paperSize="9" orientation="portrait" r:id="rId1"/>
  <headerFooter>
    <oddFooter>&amp;C_x000D_&amp;1#&amp;"Calibri"&amp;10&amp;KFF7900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9164D07742C042BBBC65754C279500" ma:contentTypeVersion="12" ma:contentTypeDescription="Crée un document." ma:contentTypeScope="" ma:versionID="3fac552180efc8a5e619e260b2805974">
  <xsd:schema xmlns:xsd="http://www.w3.org/2001/XMLSchema" xmlns:xs="http://www.w3.org/2001/XMLSchema" xmlns:p="http://schemas.microsoft.com/office/2006/metadata/properties" xmlns:ns2="9b22ef30-e79a-4c4a-90a2-cf778370a016" xmlns:ns3="926313f4-7760-43b2-b96b-dba0ed141a45" targetNamespace="http://schemas.microsoft.com/office/2006/metadata/properties" ma:root="true" ma:fieldsID="ff29f8169a395ae5fbf94812deee6273" ns2:_="" ns3:_="">
    <xsd:import namespace="9b22ef30-e79a-4c4a-90a2-cf778370a016"/>
    <xsd:import namespace="926313f4-7760-43b2-b96b-dba0ed141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22ef30-e79a-4c4a-90a2-cf778370a0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6313f4-7760-43b2-b96b-dba0ed141a4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17bbc7f-c864-484a-8bbb-b847b01afcd4}" ma:internalName="TaxCatchAll" ma:showField="CatchAllData" ma:web="926313f4-7760-43b2-b96b-dba0ed141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22ef30-e79a-4c4a-90a2-cf778370a016">
      <Terms xmlns="http://schemas.microsoft.com/office/infopath/2007/PartnerControls"/>
    </lcf76f155ced4ddcb4097134ff3c332f>
    <TaxCatchAll xmlns="926313f4-7760-43b2-b96b-dba0ed141a45" xsi:nil="true"/>
  </documentManagement>
</p:properties>
</file>

<file path=customXml/itemProps1.xml><?xml version="1.0" encoding="utf-8"?>
<ds:datastoreItem xmlns:ds="http://schemas.openxmlformats.org/officeDocument/2006/customXml" ds:itemID="{CC131231-AA86-4D23-AD23-1B3BF5075DD8}"/>
</file>

<file path=customXml/itemProps2.xml><?xml version="1.0" encoding="utf-8"?>
<ds:datastoreItem xmlns:ds="http://schemas.openxmlformats.org/officeDocument/2006/customXml" ds:itemID="{1C65F340-455C-4726-84AD-129D749B4B98}"/>
</file>

<file path=customXml/itemProps3.xml><?xml version="1.0" encoding="utf-8"?>
<ds:datastoreItem xmlns:ds="http://schemas.openxmlformats.org/officeDocument/2006/customXml" ds:itemID="{33B57B5A-2527-4F74-9E89-2A0EF3E6B052}"/>
</file>

<file path=docMetadata/LabelInfo.xml><?xml version="1.0" encoding="utf-8"?>
<clbl:labelList xmlns:clbl="http://schemas.microsoft.com/office/2020/mipLabelMetadata">
  <clbl:label id="{37d76393-9a45-44bc-94e0-70aeaf3df879}" enabled="1" method="Standard" siteId="{39e1abd8-ed13-44eb-be42-1e20116ea98c}" contentBits="2" removed="0"/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2025-11-20T10:10:38Z</dcterms:created>
  <dcterms:modified xsi:type="dcterms:W3CDTF">2025-11-26T08:53:01Z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0x010100FE9164D07742C042BBBC65754C279500</vt:lpwstr>
  </property>
</Properties>
</file>